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ksh\OneDrive\Desktop\ExeclR\Excel Assignment\"/>
    </mc:Choice>
  </mc:AlternateContent>
  <xr:revisionPtr revIDLastSave="0" documentId="13_ncr:1_{BC77C089-EACC-4405-9750-E61F810C07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cal Functions" sheetId="1" r:id="rId1"/>
  </sheets>
  <definedNames>
    <definedName name="_xlnm._FilterDatabase" localSheetId="0" hidden="1">'Logical Functions'!$A$9:$N$47</definedName>
  </definedNames>
  <calcPr calcId="191029"/>
  <extLs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<sst xmlns="http://schemas.openxmlformats.org/spreadsheetml/2006/main" count="243" uniqueCount="102">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</sst>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I8" sqref="I8"/>
    </sheetView>
  </sheetViews>
  <sheetFormatPr defaultColWidth="14.44140625" defaultRowHeight="15" customHeight="1" x14ac:dyDescent="0.3"/>
  <cols>
    <col min="1" max="1" width="8.6640625" customWidth="1"/>
    <col min="2" max="2" width="13.21875" bestFit="1" customWidth="1"/>
    <col min="3" max="3" width="8.6640625" customWidth="1"/>
    <col min="4" max="4" width="11.33203125" customWidth="1"/>
    <col min="5" max="5" width="8.6640625" customWidth="1"/>
    <col min="6" max="6" width="10.88671875" customWidth="1"/>
    <col min="7" max="7" width="21.33203125" bestFit="1" customWidth="1"/>
    <col min="8" max="8" width="14.109375" customWidth="1"/>
    <col min="9" max="9" width="12.33203125" customWidth="1"/>
    <col min="10" max="10" width="13.109375" bestFit="1" customWidth="1"/>
    <col min="11" max="13" width="8.6640625" customWidth="1"/>
    <col min="14" max="14" width="21.554687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IF(AND($E$10:$E$47="Female",$H$10:$H$47&lt;50000),"Eligible for Gift","Not Eligible")</f>
        <v>Not Eligible</v>
      </c>
      <c r="K10" s="11" t="str">
        <f>IF(AND($H$10:$H$47&lt;30000,$G$10:$G$47="CCD"),9000,"No Bonus")</f>
        <v>No Bonus</v>
      </c>
      <c r="L10" s="11" t="str">
        <f>IF(YEAR($D10)&lt;1980,"Retired","Working")</f>
        <v>Retired</v>
      </c>
      <c r="M10" s="11" t="str">
        <f>IF(OR($G$10:$G$47="Sales",$G$10:$G$47= "Marketing",$H$10:$H$47&lt;45000),25000,"No Bonus")</f>
        <v>No Bonus</v>
      </c>
      <c r="N10" s="11">
        <f>IF(AND($G$10:$G$47&lt;&gt;"Director",$G$10:$G$47&lt;&gt;"CEO"),1500,"Nothing")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IF(AND($E$10:$E$47="Female",$H$10:$H$47&lt;50000),"Eligible for Gift","Not Eligible")</f>
        <v>Not Eligible</v>
      </c>
      <c r="K11" s="11" t="str">
        <f t="shared" ref="K11:K47" si="1">IF(AND($H$10:$H$47&lt;30000,$G$10:$G$47="CCD"),9000,"No Bonus")</f>
        <v>No Bonus</v>
      </c>
      <c r="L11" s="11" t="str">
        <f t="shared" ref="L11:L47" si="2">IF(YEAR($D11)&lt;1980,"Retired","Working")</f>
        <v>Retired</v>
      </c>
      <c r="M11" s="11">
        <f t="shared" ref="M11:M47" si="3">IF(OR($G$10:$G$47="Sales",$G$10:$G$47= "Marketing",$H$10:$H$47&lt;45000),25000,"No Bonus")</f>
        <v>25000</v>
      </c>
      <c r="N11" s="11">
        <f t="shared" ref="N11:N47" si="4">IF(AND($G$10:$G$47&lt;&gt;"Director",$G$10:$G$47&lt;&gt;"CEO"),1500,"Nothing")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>No Bonus</v>
      </c>
      <c r="L12" s="11" t="str">
        <f t="shared" si="2"/>
        <v>Retired</v>
      </c>
      <c r="M12" s="11">
        <f t="shared" si="3"/>
        <v>25000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Not Eligible</v>
      </c>
      <c r="K13" s="11" t="str">
        <f t="shared" si="1"/>
        <v>No Bonus</v>
      </c>
      <c r="L13" s="11" t="str">
        <f t="shared" si="2"/>
        <v>Retired</v>
      </c>
      <c r="M13" s="11" t="str">
        <f t="shared" si="3"/>
        <v>No Bonus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Not Eligible</v>
      </c>
      <c r="K14" s="11" t="str">
        <f t="shared" si="1"/>
        <v>No Bonus</v>
      </c>
      <c r="L14" s="11" t="str">
        <f t="shared" si="2"/>
        <v>Retired</v>
      </c>
      <c r="M14" s="11" t="str">
        <f t="shared" si="3"/>
        <v>No Bonus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Not Eligible</v>
      </c>
      <c r="K15" s="11" t="str">
        <f t="shared" si="1"/>
        <v>No Bonus</v>
      </c>
      <c r="L15" s="11" t="str">
        <f t="shared" si="2"/>
        <v>Retired</v>
      </c>
      <c r="M15" s="11" t="str">
        <f t="shared" si="3"/>
        <v>No Bonus</v>
      </c>
      <c r="N15" s="11" t="str">
        <f t="shared" si="4"/>
        <v>Nothing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Not Eligible</v>
      </c>
      <c r="K16" s="11" t="str">
        <f t="shared" si="1"/>
        <v>No Bonus</v>
      </c>
      <c r="L16" s="11" t="str">
        <f t="shared" si="2"/>
        <v>Retired</v>
      </c>
      <c r="M16" s="11" t="str">
        <f t="shared" si="3"/>
        <v>No Bonus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Not Eligible</v>
      </c>
      <c r="K17" s="11">
        <f t="shared" si="1"/>
        <v>9000</v>
      </c>
      <c r="L17" s="11" t="str">
        <f t="shared" si="2"/>
        <v>Working</v>
      </c>
      <c r="M17" s="11">
        <f t="shared" si="3"/>
        <v>25000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Not Eligible</v>
      </c>
      <c r="K18" s="11" t="str">
        <f t="shared" si="1"/>
        <v>No Bonus</v>
      </c>
      <c r="L18" s="11" t="str">
        <f t="shared" si="2"/>
        <v>Retired</v>
      </c>
      <c r="M18" s="11">
        <f t="shared" si="3"/>
        <v>25000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>No Bonus</v>
      </c>
      <c r="L19" s="11" t="str">
        <f t="shared" si="2"/>
        <v>Working</v>
      </c>
      <c r="M19" s="11" t="str">
        <f t="shared" si="3"/>
        <v>No Bonus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>No Bonus</v>
      </c>
      <c r="L20" s="11" t="str">
        <f t="shared" si="2"/>
        <v>Retired</v>
      </c>
      <c r="M20" s="11">
        <f t="shared" si="3"/>
        <v>25000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Not Eligible</v>
      </c>
      <c r="K21" s="11" t="str">
        <f t="shared" si="1"/>
        <v>No Bonus</v>
      </c>
      <c r="L21" s="11" t="str">
        <f t="shared" si="2"/>
        <v>Working</v>
      </c>
      <c r="M21" s="11" t="str">
        <f t="shared" si="3"/>
        <v>No Bonus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Not Eligible</v>
      </c>
      <c r="K22" s="11" t="str">
        <f t="shared" si="1"/>
        <v>No Bonus</v>
      </c>
      <c r="L22" s="11" t="str">
        <f t="shared" si="2"/>
        <v>Working</v>
      </c>
      <c r="M22" s="11" t="str">
        <f t="shared" si="3"/>
        <v>No Bonus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Not Eligible</v>
      </c>
      <c r="K23" s="11" t="str">
        <f t="shared" si="1"/>
        <v>No Bonus</v>
      </c>
      <c r="L23" s="11" t="str">
        <f t="shared" si="2"/>
        <v>Working</v>
      </c>
      <c r="M23" s="11">
        <f t="shared" si="3"/>
        <v>25000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Not Eligible</v>
      </c>
      <c r="K24" s="11" t="str">
        <f t="shared" si="1"/>
        <v>No Bonus</v>
      </c>
      <c r="L24" s="11" t="str">
        <f t="shared" si="2"/>
        <v>Working</v>
      </c>
      <c r="M24" s="11" t="str">
        <f t="shared" si="3"/>
        <v>No Bonus</v>
      </c>
      <c r="N24" s="11" t="str">
        <f t="shared" si="4"/>
        <v>Nothing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>No Bonus</v>
      </c>
      <c r="L25" s="11" t="str">
        <f t="shared" si="2"/>
        <v>Retired</v>
      </c>
      <c r="M25" s="11" t="str">
        <f t="shared" si="3"/>
        <v>No Bonus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>No Bonus</v>
      </c>
      <c r="L26" s="11" t="str">
        <f t="shared" si="2"/>
        <v>Working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Not Eligible</v>
      </c>
      <c r="K27" s="11" t="str">
        <f t="shared" si="1"/>
        <v>No Bonus</v>
      </c>
      <c r="L27" s="11" t="str">
        <f t="shared" si="2"/>
        <v>Working</v>
      </c>
      <c r="M27" s="11" t="str">
        <f t="shared" si="3"/>
        <v>No Bonus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Not Eligible</v>
      </c>
      <c r="K28" s="11" t="str">
        <f t="shared" si="1"/>
        <v>No Bonus</v>
      </c>
      <c r="L28" s="11" t="str">
        <f t="shared" si="2"/>
        <v>Working</v>
      </c>
      <c r="M28" s="11">
        <f t="shared" si="3"/>
        <v>25000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Not Eligible</v>
      </c>
      <c r="K29" s="11" t="str">
        <f t="shared" si="1"/>
        <v>No Bonus</v>
      </c>
      <c r="L29" s="11" t="str">
        <f t="shared" si="2"/>
        <v>Working</v>
      </c>
      <c r="M29" s="11" t="str">
        <f t="shared" si="3"/>
        <v>No Bonus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Not Eligible</v>
      </c>
      <c r="K30" s="11" t="str">
        <f t="shared" si="1"/>
        <v>No Bonus</v>
      </c>
      <c r="L30" s="11" t="str">
        <f t="shared" si="2"/>
        <v>Working</v>
      </c>
      <c r="M30" s="11" t="str">
        <f t="shared" si="3"/>
        <v>No Bonus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Not Eligible</v>
      </c>
      <c r="K31" s="11" t="str">
        <f t="shared" si="1"/>
        <v>No Bonus</v>
      </c>
      <c r="L31" s="11" t="str">
        <f t="shared" si="2"/>
        <v>Working</v>
      </c>
      <c r="M31" s="11">
        <f t="shared" si="3"/>
        <v>25000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Not Eligible</v>
      </c>
      <c r="K32" s="11" t="str">
        <f t="shared" si="1"/>
        <v>No Bonus</v>
      </c>
      <c r="L32" s="11" t="str">
        <f t="shared" si="2"/>
        <v>Working</v>
      </c>
      <c r="M32" s="11" t="str">
        <f t="shared" si="3"/>
        <v>No Bonus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Not Eligible</v>
      </c>
      <c r="K33" s="11" t="str">
        <f t="shared" si="1"/>
        <v>No Bonus</v>
      </c>
      <c r="L33" s="11" t="str">
        <f t="shared" si="2"/>
        <v>Working</v>
      </c>
      <c r="M33" s="11" t="str">
        <f t="shared" si="3"/>
        <v>No Bonus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Not Eligible</v>
      </c>
      <c r="K34" s="11" t="str">
        <f t="shared" si="1"/>
        <v>No Bonus</v>
      </c>
      <c r="L34" s="11" t="str">
        <f t="shared" si="2"/>
        <v>Working</v>
      </c>
      <c r="M34" s="11">
        <f t="shared" si="3"/>
        <v>25000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Not Eligible</v>
      </c>
      <c r="K35" s="11" t="str">
        <f t="shared" si="1"/>
        <v>No Bonus</v>
      </c>
      <c r="L35" s="11" t="str">
        <f t="shared" si="2"/>
        <v>Retired</v>
      </c>
      <c r="M35" s="11">
        <f t="shared" si="3"/>
        <v>25000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Not Eligible</v>
      </c>
      <c r="K36" s="11" t="str">
        <f t="shared" si="1"/>
        <v>No Bonus</v>
      </c>
      <c r="L36" s="11" t="str">
        <f t="shared" si="2"/>
        <v>Working</v>
      </c>
      <c r="M36" s="11" t="str">
        <f t="shared" si="3"/>
        <v>No Bonus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Not Eligible</v>
      </c>
      <c r="K37" s="11" t="str">
        <f t="shared" si="1"/>
        <v>No Bonus</v>
      </c>
      <c r="L37" s="11" t="str">
        <f t="shared" si="2"/>
        <v>Retired</v>
      </c>
      <c r="M37" s="11">
        <f t="shared" si="3"/>
        <v>25000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Not Eligible</v>
      </c>
      <c r="K38" s="11" t="str">
        <f t="shared" si="1"/>
        <v>No Bonus</v>
      </c>
      <c r="L38" s="11" t="str">
        <f t="shared" si="2"/>
        <v>Retired</v>
      </c>
      <c r="M38" s="11" t="str">
        <f t="shared" si="3"/>
        <v>No Bonus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Not Eligible</v>
      </c>
      <c r="K39" s="11" t="str">
        <f t="shared" si="1"/>
        <v>No Bonus</v>
      </c>
      <c r="L39" s="11" t="str">
        <f t="shared" si="2"/>
        <v>Working</v>
      </c>
      <c r="M39" s="11" t="str">
        <f t="shared" si="3"/>
        <v>No Bonus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Not Eligible</v>
      </c>
      <c r="K40" s="11" t="str">
        <f t="shared" si="1"/>
        <v>No Bonus</v>
      </c>
      <c r="L40" s="11" t="str">
        <f t="shared" si="2"/>
        <v>Working</v>
      </c>
      <c r="M40" s="11">
        <f t="shared" si="3"/>
        <v>25000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Not Eligible</v>
      </c>
      <c r="K41" s="11" t="str">
        <f t="shared" si="1"/>
        <v>No Bonus</v>
      </c>
      <c r="L41" s="11" t="str">
        <f t="shared" si="2"/>
        <v>Working</v>
      </c>
      <c r="M41" s="11" t="str">
        <f t="shared" si="3"/>
        <v>No Bonus</v>
      </c>
      <c r="N41" s="11" t="str">
        <f t="shared" si="4"/>
        <v>Nothing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Not Eligible</v>
      </c>
      <c r="K42" s="11" t="str">
        <f t="shared" si="1"/>
        <v>No Bonus</v>
      </c>
      <c r="L42" s="11" t="str">
        <f t="shared" si="2"/>
        <v>Working</v>
      </c>
      <c r="M42" s="11" t="str">
        <f t="shared" si="3"/>
        <v>No Bonus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Not Eligible</v>
      </c>
      <c r="K43" s="11" t="str">
        <f t="shared" si="1"/>
        <v>No Bonus</v>
      </c>
      <c r="L43" s="11" t="str">
        <f t="shared" si="2"/>
        <v>Working</v>
      </c>
      <c r="M43" s="11" t="str">
        <f t="shared" si="3"/>
        <v>No Bonus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Not Eligible</v>
      </c>
      <c r="K44" s="11" t="str">
        <f t="shared" si="1"/>
        <v>No Bonus</v>
      </c>
      <c r="L44" s="11" t="str">
        <f t="shared" si="2"/>
        <v>Working</v>
      </c>
      <c r="M44" s="11">
        <f t="shared" si="3"/>
        <v>25000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Not Eligible</v>
      </c>
      <c r="K45" s="11" t="str">
        <f t="shared" si="1"/>
        <v>No Bonus</v>
      </c>
      <c r="L45" s="11" t="str">
        <f t="shared" si="2"/>
        <v>Working</v>
      </c>
      <c r="M45" s="11" t="str">
        <f t="shared" si="3"/>
        <v>No Bonus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Not Eligible</v>
      </c>
      <c r="K46" s="11" t="str">
        <f t="shared" si="1"/>
        <v>No Bonus</v>
      </c>
      <c r="L46" s="11" t="str">
        <f t="shared" si="2"/>
        <v>Working</v>
      </c>
      <c r="M46" s="11" t="str">
        <f t="shared" si="3"/>
        <v>No Bonus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Not Eligible</v>
      </c>
      <c r="K47" s="11" t="str">
        <f t="shared" si="1"/>
        <v>No Bonus</v>
      </c>
      <c r="L47" s="11" t="str">
        <f t="shared" si="2"/>
        <v>Working</v>
      </c>
      <c r="M47" s="11">
        <f t="shared" si="3"/>
        <v>25000</v>
      </c>
      <c r="N47" s="11">
        <f t="shared" si="4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sakshi ghate</cp:lastModifiedBy>
  <dcterms:created xsi:type="dcterms:W3CDTF">2020-05-11T11:02:27Z</dcterms:created>
  <dcterms:modified xsi:type="dcterms:W3CDTF">2025-07-02T09:47:20Z</dcterms:modified>
</cp:coreProperties>
</file>